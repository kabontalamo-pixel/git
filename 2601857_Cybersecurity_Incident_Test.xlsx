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tzErnest/Documents/"/>
    </mc:Choice>
  </mc:AlternateContent>
  <xr:revisionPtr revIDLastSave="0" documentId="13_ncr:1_{045A3646-323A-0F49-94E3-32AC004F4BD9}" xr6:coauthVersionLast="36" xr6:coauthVersionMax="36" xr10:uidLastSave="{00000000-0000-0000-0000-000000000000}"/>
  <bookViews>
    <workbookView xWindow="0" yWindow="0" windowWidth="28800" windowHeight="18000" xr2:uid="{C04315F0-D19C-FE40-B131-39B15CC01A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N7" i="1" l="1"/>
  <c r="N6" i="1"/>
  <c r="N5" i="1"/>
  <c r="N4" i="1"/>
  <c r="N3" i="1"/>
  <c r="N2" i="1"/>
  <c r="K7" i="1"/>
  <c r="K6" i="1"/>
  <c r="K5" i="1"/>
  <c r="K3" i="1"/>
  <c r="K2" i="1"/>
  <c r="H9" i="1"/>
  <c r="H5" i="1"/>
  <c r="H4" i="1"/>
  <c r="H10" i="1"/>
  <c r="H2" i="1"/>
  <c r="H7" i="1"/>
  <c r="H8" i="1"/>
  <c r="H11" i="1"/>
  <c r="H3" i="1"/>
  <c r="H6" i="1"/>
</calcChain>
</file>

<file path=xl/sharedStrings.xml><?xml version="1.0" encoding="utf-8"?>
<sst xmlns="http://schemas.openxmlformats.org/spreadsheetml/2006/main" count="87" uniqueCount="58">
  <si>
    <t>Incident ID</t>
  </si>
  <si>
    <t xml:space="preserve">Date </t>
  </si>
  <si>
    <t>Status</t>
  </si>
  <si>
    <t>Response Time (minutes)</t>
  </si>
  <si>
    <t>INC001</t>
  </si>
  <si>
    <t>INC002</t>
  </si>
  <si>
    <t>INC003</t>
  </si>
  <si>
    <t>INC004</t>
  </si>
  <si>
    <t>INC005</t>
  </si>
  <si>
    <t>INC006</t>
  </si>
  <si>
    <t>INC007</t>
  </si>
  <si>
    <t>INC008</t>
  </si>
  <si>
    <t>INC009</t>
  </si>
  <si>
    <t>INC010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</si>
  <si>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</si>
  <si>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</si>
  <si>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</si>
  <si>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</si>
  <si>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</si>
  <si>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</si>
  <si>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</si>
  <si>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</si>
  <si>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</si>
  <si>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Phishing</t>
  </si>
  <si>
    <t>Malware</t>
  </si>
  <si>
    <t>Unauthorised Access</t>
  </si>
  <si>
    <t>DDoS</t>
  </si>
  <si>
    <t>Password Attack</t>
  </si>
  <si>
    <t>Data Breaching</t>
  </si>
  <si>
    <t>Incident Type</t>
  </si>
  <si>
    <t>Department</t>
  </si>
  <si>
    <t>Severity</t>
  </si>
  <si>
    <t>Finance</t>
  </si>
  <si>
    <t>Student Affairs</t>
  </si>
  <si>
    <t>ICT</t>
  </si>
  <si>
    <t>HR</t>
  </si>
  <si>
    <t>Library</t>
  </si>
  <si>
    <t>Admissions</t>
  </si>
  <si>
    <t>High</t>
  </si>
  <si>
    <t>Critical</t>
  </si>
  <si>
    <t>Medium</t>
  </si>
  <si>
    <t>Resolved</t>
  </si>
  <si>
    <t>Investigating</t>
  </si>
  <si>
    <t>02/09/2026</t>
  </si>
  <si>
    <t>Response Cartegory</t>
  </si>
  <si>
    <t>High Severity Count</t>
  </si>
  <si>
    <t>Critical Severity</t>
  </si>
  <si>
    <t>Average Response Time</t>
  </si>
  <si>
    <t>Longest Response Time</t>
  </si>
  <si>
    <t>Shortest Response Time</t>
  </si>
  <si>
    <t>Unauthorized Access</t>
  </si>
  <si>
    <t>Number of Incidents</t>
  </si>
  <si>
    <t>ict Department count</t>
  </si>
  <si>
    <t>Most frequent incident types:</t>
  </si>
  <si>
    <t>Phishing and Malware (3 each)</t>
  </si>
  <si>
    <t>observation:</t>
  </si>
  <si>
    <t>1. Phishing and Malware have the highest number of incidents, each occurring 3 times.</t>
  </si>
  <si>
    <t>2. Unauthorised Access, DDoS, Password Attack, and Data Breach each occurred only once, showing most incident types are rare compared to Phishing and Malware.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</si>
</sst>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C09]dd\ mmmm\ yyyy;@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1"/>
    <xf numFmtId="0" fontId="1" fillId="0" borderId="0" xfId="1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  <xf numFmtId="164" fontId="0" fillId="0" borderId="0" xfId="0" applyNumberFormat="1"/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6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4" formatCode="[$-1C09]dd\ mmmm\ 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Cybersecurity Incidents by Incident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28928591955201"/>
          <c:y val="0.22880143112701251"/>
          <c:w val="0.85777015099389931"/>
          <c:h val="0.577394109278379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Number of Incidents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Sheet1!$M$2:$M$7</c:f>
              <c:strCache>
                <c:ptCount val="6"/>
                <c:pt idx="0">
                  <c:v>Phishing</c:v>
                </c:pt>
                <c:pt idx="1">
                  <c:v>Malware</c:v>
                </c:pt>
                <c:pt idx="2">
                  <c:v>Unauthorized Access</c:v>
                </c:pt>
                <c:pt idx="3">
                  <c:v>DDoS</c:v>
                </c:pt>
                <c:pt idx="4">
                  <c:v>Password Attack</c:v>
                </c:pt>
                <c:pt idx="5">
                  <c:v>Data Breaching</c:v>
                </c:pt>
              </c:strCache>
            </c:strRef>
          </c:cat>
          <c:val>
            <c:numRef>
              <c:f>Sheet1!$N$2:$N$7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0-C848-B620-BE08721A1C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94526976"/>
        <c:axId val="34069168"/>
      </c:barChart>
      <c:catAx>
        <c:axId val="94526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Incident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69168"/>
        <c:crosses val="autoZero"/>
        <c:auto val="1"/>
        <c:lblAlgn val="ctr"/>
        <c:lblOffset val="100"/>
        <c:noMultiLvlLbl val="0"/>
      </c:catAx>
      <c:valAx>
        <c:axId val="34069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Incidents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2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39688</xdr:rowOff>
    </xdr:from>
    <xdr:to>
      <xdr:col>8</xdr:col>
      <xdr:colOff>19844</xdr:colOff>
      <xdr:row>22</xdr:row>
      <xdr:rowOff>138906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635821-400F-AD4A-A480-1CB684DD6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8B2675-DDFC-954E-8914-C8DAA504ABA1}" name="Table2" displayName="Table2" ref="A1:H11" totalsRowShown="0" headerRowDxfId="5" headerRowBorderDxfId="4" tableBorderDxfId="3">
  <autoFilter ref="A1:H11" xr:uid="{31CC2354-C359-0142-A486-DFBBCD4DCA12}"/>
  <sortState ref="A2:H11">
    <sortCondition descending="1" ref="G2"/>
  </sortState>
  <tableColumns count="8">
    <tableColumn id="1" xr3:uid="{AF5C394B-F078-7446-A949-C308E79AD298}" name="Incident ID"/>
    <tableColumn id="2" xr3:uid="{B9422FA1-0DAB-A241-A537-E0BCDF810FDF}" name="Date " dataDxfId="2"/>
    <tableColumn id="3" xr3:uid="{AFC3F6F3-9343-D14F-BBC0-266BA3D8DE27}" name="Incident Type"/>
    <tableColumn id="4" xr3:uid="{76B3BE03-B8E4-804E-84AC-A5DFD4352E88}" name="Department"/>
    <tableColumn id="5" xr3:uid="{F178F8A8-66D6-0240-835D-8DE1A1B9E55F}" name="Severity"/>
    <tableColumn id="6" xr3:uid="{A698CBA7-4A83-2A4C-B9AE-6A9923C8A471}" name="Status" dataDxfId="1" dataCellStyle="Hyperlink"/>
    <tableColumn id="7" xr3:uid="{C5FBC999-ADAC-CB42-A568-380E5E02FDAA}" name="Response Time (minutes)"/>
    <tableColumn id="9" xr3:uid="{ECD22F97-8D64-F14E-B408-643C8777E1E6}" name="Response Cartegory" dataDxfId="0">
      <calculatedColumnFormula>IF(Table2[[#This Row],[Response Time (minutes)]]&lt;60, "Fast", IF(Table2[[#This Row],[Response Time (minutes)]]&lt;120, "Moderate", "Slow"))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25E2-7D1E-E743-AAAB-9ADD6707C7BF}">
  <dimension ref="A1:N22"/>
  <sheetViews>
    <sheetView tabSelected="1" zoomScale="64" workbookViewId="0">
      <selection activeCell="K5" sqref="K5"/>
    </sheetView>
  </sheetViews>
  <sheetFormatPr baseColWidth="10" defaultRowHeight="16"/>
  <cols>
    <col min="1" max="1" width="12.33203125" customWidth="1"/>
    <col min="3" max="3" width="16" customWidth="1"/>
    <col min="4" max="4" width="13.5" customWidth="1"/>
    <col min="6" max="6" width="11.6640625" customWidth="1"/>
    <col min="7" max="7" width="13.83203125" customWidth="1"/>
    <col min="10" max="10" width="25" customWidth="1"/>
    <col min="11" max="11" width="26.33203125" customWidth="1"/>
    <col min="12" max="12" width="10.5" customWidth="1"/>
    <col min="13" max="13" width="13.6640625" customWidth="1"/>
    <col min="14" max="14" width="11.6640625" customWidth="1"/>
  </cols>
  <sheetData>
    <row r="1" spans="1:14" ht="34">
      <c r="A1" s="7" t="s">
        <v>0</v>
      </c>
      <c r="B1" s="7" t="s">
        <v>1</v>
      </c>
      <c r="C1" s="7" t="s">
        <v>29</v>
      </c>
      <c r="D1" s="7" t="s">
        <v>30</v>
      </c>
      <c r="E1" s="7" t="s">
        <v>31</v>
      </c>
      <c r="F1" s="7" t="s">
        <v>2</v>
      </c>
      <c r="G1" s="8" t="s">
        <v>3</v>
      </c>
      <c r="H1" s="7" t="s">
        <v>44</v>
      </c>
      <c r="M1" s="11" t="s">
        <v>29</v>
      </c>
      <c r="N1" s="5" t="s">
        <v>51</v>
      </c>
    </row>
    <row r="2" spans="1:14">
      <c r="A2" t="s">
        <v>8</v>
      </c>
      <c r="B2" s="9" t="s">
        <v>17</v>
      </c>
      <c r="C2" t="s">
        <v>26</v>
      </c>
      <c r="D2" t="s">
        <v>34</v>
      </c>
      <c r="E2" t="s">
        <v>39</v>
      </c>
      <c r="F2" s="2" t="s">
        <v>42</v>
      </c>
      <c r="G2">
        <v>180</v>
      </c>
      <c r="H2" t="str">
        <f>IF(Table2[[#This Row],[Response Time (minutes)]]&lt;60, "Fast", IF(Table2[[#This Row],[Response Time (minutes)]]&lt;120, "Moderate", "Slow"))</f>
        <v>Slow</v>
      </c>
      <c r="J2" t="s">
        <v>45</v>
      </c>
      <c r="K2">
        <f>COUNTIF(E2:E11, "high")</f>
        <v>4</v>
      </c>
      <c r="M2" t="s">
        <v>23</v>
      </c>
      <c r="N2">
        <f>COUNTIF(C2:C11, "Phishing")</f>
        <v>3</v>
      </c>
    </row>
    <row r="3" spans="1:14">
      <c r="A3" t="s">
        <v>12</v>
      </c>
      <c r="B3" s="9" t="s">
        <v>21</v>
      </c>
      <c r="C3" t="s">
        <v>28</v>
      </c>
      <c r="D3" t="s">
        <v>32</v>
      </c>
      <c r="E3" t="s">
        <v>39</v>
      </c>
      <c r="F3" s="2" t="s">
        <v>42</v>
      </c>
      <c r="G3">
        <v>150</v>
      </c>
      <c r="H3" t="str">
        <f>IF(Table2[[#This Row],[Response Time (minutes)]]&lt;60, "Fast", IF(Table2[[#This Row],[Response Time (minutes)]]&lt;120, "Moderate", "Slow"))</f>
        <v>Slow</v>
      </c>
      <c r="J3" t="s">
        <v>46</v>
      </c>
      <c r="K3">
        <f>COUNTIF(E2:E11,"Critical")</f>
        <v>3</v>
      </c>
      <c r="M3" t="s">
        <v>24</v>
      </c>
      <c r="N3">
        <f>COUNTIF(C2:C11, "Malware")</f>
        <v>3</v>
      </c>
    </row>
    <row r="4" spans="1:14" ht="34">
      <c r="A4" s="5" t="s">
        <v>6</v>
      </c>
      <c r="B4" s="6" t="s">
        <v>15</v>
      </c>
      <c r="C4" s="5" t="s">
        <v>25</v>
      </c>
      <c r="D4" s="5" t="s">
        <v>34</v>
      </c>
      <c r="E4" s="5" t="s">
        <v>38</v>
      </c>
      <c r="F4" s="5" t="s">
        <v>42</v>
      </c>
      <c r="G4" s="5">
        <v>120</v>
      </c>
      <c r="H4" s="5" t="str">
        <f>IF(Table2[[#This Row],[Response Time (minutes)]]&lt;60, "Fast", IF(Table2[[#This Row],[Response Time (minutes)]]&lt;120, "Moderate", "Slow"))</f>
        <v>Slow</v>
      </c>
      <c r="J4" s="5" t="s">
        <v>52</v>
      </c>
      <c r="K4">
        <f>COUNTIF(Table2[Department],"ICT")</f>
        <v>3</v>
      </c>
      <c r="M4" t="s">
        <v>50</v>
      </c>
      <c r="N4">
        <f>COUNTIF(C2:C11, "Unauthorised Access")</f>
        <v>1</v>
      </c>
    </row>
    <row r="5" spans="1:14" ht="17">
      <c r="A5" s="3" t="s">
        <v>5</v>
      </c>
      <c r="B5" s="10" t="s">
        <v>14</v>
      </c>
      <c r="C5" s="3" t="s">
        <v>24</v>
      </c>
      <c r="D5" s="3" t="s">
        <v>33</v>
      </c>
      <c r="E5" s="3" t="s">
        <v>39</v>
      </c>
      <c r="F5" s="3" t="s">
        <v>41</v>
      </c>
      <c r="G5" s="4">
        <v>90</v>
      </c>
      <c r="H5" s="4" t="str">
        <f>IF(Table2[[#This Row],[Response Time (minutes)]]&lt;60, "Fast", IF(Table2[[#This Row],[Response Time (minutes)]]&lt;120, "Moderate", "Slow"))</f>
        <v>Moderate</v>
      </c>
      <c r="J5" t="s">
        <v>47</v>
      </c>
      <c r="K5">
        <f>AVERAGE(Table2[Response Time (minutes)])</f>
        <v>83.5</v>
      </c>
      <c r="M5" t="s">
        <v>26</v>
      </c>
      <c r="N5">
        <f>COUNTIF(C2:C11, "DDoS")</f>
        <v>1</v>
      </c>
    </row>
    <row r="6" spans="1:14">
      <c r="A6" t="s">
        <v>13</v>
      </c>
      <c r="B6" s="9" t="s">
        <v>22</v>
      </c>
      <c r="C6" t="s">
        <v>24</v>
      </c>
      <c r="D6" t="s">
        <v>34</v>
      </c>
      <c r="E6" t="s">
        <v>38</v>
      </c>
      <c r="F6" s="2" t="s">
        <v>41</v>
      </c>
      <c r="G6">
        <v>75</v>
      </c>
      <c r="H6" t="str">
        <f>IF(Table2[[#This Row],[Response Time (minutes)]]&lt;60, "Fast", IF(Table2[[#This Row],[Response Time (minutes)]]&lt;120, "Moderate", "Slow"))</f>
        <v>Moderate</v>
      </c>
      <c r="J6" t="s">
        <v>48</v>
      </c>
      <c r="K6">
        <f>MAX(Table2[Response Time (minutes)])</f>
        <v>180</v>
      </c>
      <c r="M6" t="s">
        <v>27</v>
      </c>
      <c r="N6">
        <f>COUNTIF(C2:C11,"Password Attack")</f>
        <v>1</v>
      </c>
    </row>
    <row r="7" spans="1:14">
      <c r="A7" t="s">
        <v>9</v>
      </c>
      <c r="B7" s="9" t="s">
        <v>18</v>
      </c>
      <c r="C7" t="s">
        <v>24</v>
      </c>
      <c r="D7" t="s">
        <v>36</v>
      </c>
      <c r="E7" t="s">
        <v>40</v>
      </c>
      <c r="F7" s="2" t="s">
        <v>41</v>
      </c>
      <c r="G7">
        <v>60</v>
      </c>
      <c r="H7" t="str">
        <f>IF(Table2[[#This Row],[Response Time (minutes)]]&lt;60, "Fast", IF(Table2[[#This Row],[Response Time (minutes)]]&lt;120, "Moderate", "Slow"))</f>
        <v>Moderate</v>
      </c>
      <c r="J7" t="s">
        <v>49</v>
      </c>
      <c r="K7">
        <f>MIN(Table2[Response Time (minutes)])</f>
        <v>30</v>
      </c>
      <c r="M7" t="s">
        <v>28</v>
      </c>
      <c r="N7">
        <f>COUNTIF(C2:C11, "Data Breaching")</f>
        <v>1</v>
      </c>
    </row>
    <row r="8" spans="1:14">
      <c r="A8" t="s">
        <v>10</v>
      </c>
      <c r="B8" s="9" t="s">
        <v>19</v>
      </c>
      <c r="C8" t="s">
        <v>27</v>
      </c>
      <c r="D8" t="s">
        <v>32</v>
      </c>
      <c r="E8" t="s">
        <v>38</v>
      </c>
      <c r="F8" s="2" t="s">
        <v>41</v>
      </c>
      <c r="G8">
        <v>50</v>
      </c>
      <c r="H8" t="str">
        <f>IF(Table2[[#This Row],[Response Time (minutes)]]&lt;60, "Fast", IF(Table2[[#This Row],[Response Time (minutes)]]&lt;120, "Moderate", "Slow"))</f>
        <v>Fast</v>
      </c>
      <c r="J8" t="s">
        <v>53</v>
      </c>
      <c r="K8" t="s">
        <v>54</v>
      </c>
    </row>
    <row r="9" spans="1:14">
      <c r="A9" t="s">
        <v>4</v>
      </c>
      <c r="B9" s="9" t="s">
        <v>43</v>
      </c>
      <c r="C9" t="s">
        <v>23</v>
      </c>
      <c r="D9" t="s">
        <v>32</v>
      </c>
      <c r="E9" t="s">
        <v>38</v>
      </c>
      <c r="F9" t="s">
        <v>41</v>
      </c>
      <c r="G9">
        <v>45</v>
      </c>
      <c r="H9" t="str">
        <f>IF(Table2[[#This Row],[Response Time (minutes)]]&lt;60, "Fast", IF(Table2[[#This Row],[Response Time (minutes)]]&lt;120, "Moderate", "Slow"))</f>
        <v>Fast</v>
      </c>
    </row>
    <row r="10" spans="1:14">
      <c r="A10" t="s">
        <v>7</v>
      </c>
      <c r="B10" s="9" t="s">
        <v>16</v>
      </c>
      <c r="C10" t="s">
        <v>23</v>
      </c>
      <c r="D10" t="s">
        <v>35</v>
      </c>
      <c r="E10" t="s">
        <v>40</v>
      </c>
      <c r="F10" t="s">
        <v>41</v>
      </c>
      <c r="G10">
        <v>35</v>
      </c>
      <c r="H10" t="str">
        <f>IF(Table2[[#This Row],[Response Time (minutes)]]&lt;60, "Fast", IF(Table2[[#This Row],[Response Time (minutes)]]&lt;120, "Moderate", "Slow"))</f>
        <v>Fast</v>
      </c>
    </row>
    <row r="11" spans="1:14">
      <c r="A11" t="s">
        <v>11</v>
      </c>
      <c r="B11" s="9" t="s">
        <v>20</v>
      </c>
      <c r="C11" t="s">
        <v>23</v>
      </c>
      <c r="D11" t="s">
        <v>37</v>
      </c>
      <c r="E11" t="s">
        <v>40</v>
      </c>
      <c r="F11" s="2" t="s">
        <v>41</v>
      </c>
      <c r="G11">
        <v>30</v>
      </c>
      <c r="H11" t="str">
        <f>IF(Table2[[#This Row],[Response Time (minutes)]]&lt;60, "Fast", IF(Table2[[#This Row],[Response Time (minutes)]]&lt;120, "Moderate", "Slow"))</f>
        <v>Fast</v>
      </c>
    </row>
    <row r="12" spans="1:14" ht="68">
      <c r="F12" s="1"/>
      <c r="J12" t="s">
        <v>55</v>
      </c>
      <c r="K12" s="12" t="s">
        <v>56</v>
      </c>
    </row>
    <row r="13" spans="1:14" ht="102">
      <c r="K13" s="12" t="s">
        <v>57</v>
      </c>
    </row>
    <row r="14" spans="1:14">
      <c r="F14" s="1"/>
    </row>
    <row r="22" spans="6:6">
      <c r="F22" s="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2026-09-23T13:15:59Z</dcterms:created>
  <dcterms:modified xsi:type="dcterms:W3CDTF">2026-09-23T18:36:05Z</dcterms:modified>
</cp:coreProperties>
</file>